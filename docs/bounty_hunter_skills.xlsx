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스킬" sheetId="1" state="visible" r:id="rId3"/>
    <sheet name="설정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Noto Sans CJK SC"/>
            <family val="2"/>
          </rPr>
          <t xml:space="preserve">수동 시전에만 마나가 듭니다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슬롯 자동 사용은 무료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<sst xmlns="http://schemas.openxmlformats.org/spreadsheetml/2006/main" count="59" uniqueCount="58">
  <si>
    <t xml:space="preserve">키</t>
  </si>
  <si>
    <t xml:space="preserve">스킬</t>
  </si>
  <si>
    <t xml:space="preserve">영문</t>
  </si>
  <si>
    <t xml:space="preserve">효과</t>
  </si>
  <si>
    <r>
      <rPr>
        <b val="true"/>
        <sz val="11"/>
        <color rgb="FFF1ECE0"/>
        <rFont val="Noto Sans CJK SC"/>
        <family val="2"/>
      </rPr>
      <t xml:space="preserve">수동 쿨타임</t>
    </r>
    <r>
      <rPr>
        <b val="true"/>
        <sz val="11"/>
        <color rgb="FFF1ECE0"/>
        <rFont val="Arial"/>
        <family val="0"/>
        <charset val="1"/>
      </rPr>
      <t xml:space="preserve">(</t>
    </r>
    <r>
      <rPr>
        <b val="true"/>
        <sz val="11"/>
        <color rgb="FFF1ECE0"/>
        <rFont val="Noto Sans CJK SC"/>
        <family val="2"/>
      </rPr>
      <t xml:space="preserve">초</t>
    </r>
    <r>
      <rPr>
        <b val="true"/>
        <sz val="11"/>
        <color rgb="FFF1ECE0"/>
        <rFont val="Arial"/>
        <family val="0"/>
        <charset val="1"/>
      </rPr>
      <t xml:space="preserve">)</t>
    </r>
  </si>
  <si>
    <t xml:space="preserve">마나 비용</t>
  </si>
  <si>
    <r>
      <rPr>
        <b val="true"/>
        <sz val="11"/>
        <color rgb="FFF1ECE0"/>
        <rFont val="Noto Sans CJK SC"/>
        <family val="2"/>
      </rPr>
      <t xml:space="preserve">자동 쿨타임</t>
    </r>
    <r>
      <rPr>
        <b val="true"/>
        <sz val="11"/>
        <color rgb="FFF1ECE0"/>
        <rFont val="Arial"/>
        <family val="0"/>
        <charset val="1"/>
      </rPr>
      <t xml:space="preserve">(</t>
    </r>
    <r>
      <rPr>
        <b val="true"/>
        <sz val="11"/>
        <color rgb="FFF1ECE0"/>
        <rFont val="Noto Sans CJK SC"/>
        <family val="2"/>
      </rPr>
      <t xml:space="preserve">초</t>
    </r>
    <r>
      <rPr>
        <b val="true"/>
        <sz val="11"/>
        <color rgb="FFF1ECE0"/>
        <rFont val="Arial"/>
        <family val="0"/>
        <charset val="1"/>
      </rPr>
      <t xml:space="preserve">)</t>
    </r>
  </si>
  <si>
    <r>
      <rPr>
        <b val="true"/>
        <sz val="11"/>
        <color rgb="FFF1ECE0"/>
        <rFont val="Arial"/>
        <family val="0"/>
        <charset val="1"/>
      </rPr>
      <t xml:space="preserve">1</t>
    </r>
    <r>
      <rPr>
        <b val="true"/>
        <sz val="11"/>
        <color rgb="FFF1ECE0"/>
        <rFont val="Noto Sans CJK SC"/>
        <family val="2"/>
      </rPr>
      <t xml:space="preserve">타 피해</t>
    </r>
  </si>
  <si>
    <t xml:space="preserve">타수</t>
  </si>
  <si>
    <t xml:space="preserve">추가 피해</t>
  </si>
  <si>
    <t xml:space="preserve">시전당 피해</t>
  </si>
  <si>
    <t xml:space="preserve">자동 초당 피해</t>
  </si>
  <si>
    <t xml:space="preserve">비고</t>
  </si>
  <si>
    <t xml:space="preserve">패닝</t>
  </si>
  <si>
    <t xml:space="preserve">Fan Fire</t>
  </si>
  <si>
    <r>
      <rPr>
        <sz val="11"/>
        <rFont val="Noto Sans CJK SC"/>
        <family val="2"/>
      </rPr>
      <t xml:space="preserve">리볼버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연발을 부채꼴로 연사</t>
    </r>
  </si>
  <si>
    <t xml:space="preserve">산탄총</t>
  </si>
  <si>
    <t xml:space="preserve">Scattergun</t>
  </si>
  <si>
    <r>
      <rPr>
        <sz val="11"/>
        <rFont val="Noto Sans CJK SC"/>
        <family val="2"/>
      </rPr>
      <t xml:space="preserve">근거리에 산탄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발 확산</t>
    </r>
  </si>
  <si>
    <t xml:space="preserve">작살</t>
  </si>
  <si>
    <t xml:space="preserve">Harpoon</t>
  </si>
  <si>
    <r>
      <rPr>
        <sz val="11"/>
        <rFont val="Noto Sans CJK SC"/>
        <family val="2"/>
      </rPr>
      <t xml:space="preserve">관통 </t>
    </r>
    <r>
      <rPr>
        <sz val="11"/>
        <rFont val="Arial"/>
        <family val="0"/>
        <charset val="1"/>
      </rPr>
      <t xml:space="preserve">+ 2.2</t>
    </r>
    <r>
      <rPr>
        <sz val="11"/>
        <rFont val="Noto Sans CJK SC"/>
        <family val="2"/>
      </rPr>
      <t xml:space="preserve">초 기절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당길 때 추가 피해</t>
    </r>
  </si>
  <si>
    <r>
      <rPr>
        <sz val="11"/>
        <rFont val="Noto Sans CJK SC"/>
        <family val="2"/>
      </rPr>
      <t xml:space="preserve">대상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개 기준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관통하면 맞은 운석마다 적용</t>
    </r>
  </si>
  <si>
    <t xml:space="preserve">근접 기뢰</t>
  </si>
  <si>
    <t xml:space="preserve">Prox Mine</t>
  </si>
  <si>
    <r>
      <rPr>
        <sz val="11"/>
        <rFont val="Noto Sans CJK SC"/>
        <family val="2"/>
      </rPr>
      <t xml:space="preserve">접근 시 또는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초 후 폭발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반경 </t>
    </r>
    <r>
      <rPr>
        <sz val="11"/>
        <rFont val="Arial"/>
        <family val="0"/>
        <charset val="1"/>
      </rPr>
      <t xml:space="preserve">115)</t>
    </r>
  </si>
  <si>
    <t xml:space="preserve">범위 피해</t>
  </si>
  <si>
    <t xml:space="preserve">궤도 포격</t>
  </si>
  <si>
    <t xml:space="preserve">Orbital Strike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</si>
  <si>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초 조준 후 수직 빔 </t>
    </r>
    <r>
      <rPr>
        <sz val="11"/>
        <rFont val="Arial"/>
        <family val="0"/>
        <charset val="1"/>
      </rPr>
      <t xml:space="preserve">(0.6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</si>
  <si>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추가 피해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지속 </t>
    </r>
    <r>
      <rPr>
        <sz val="11"/>
        <rFont val="Arial"/>
        <family val="0"/>
        <charset val="1"/>
      </rPr>
      <t xml:space="preserve">12 × </t>
    </r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근사</t>
    </r>
    <r>
      <rPr>
        <sz val="11"/>
        <rFont val="Arial"/>
        <family val="0"/>
        <charset val="1"/>
      </rPr>
      <t xml:space="preserve">)</t>
    </r>
  </si>
  <si>
    <t xml:space="preserve">저격</t>
  </si>
  <si>
    <t xml:space="preserve">Long Shot</t>
  </si>
  <si>
    <r>
      <rPr>
        <sz val="11"/>
        <rFont val="Arial"/>
        <family val="0"/>
        <charset val="1"/>
      </rPr>
      <t xml:space="preserve">0.45</t>
    </r>
    <r>
      <rPr>
        <sz val="11"/>
        <rFont val="Noto Sans CJK SC"/>
        <family val="2"/>
      </rPr>
      <t xml:space="preserve">초 조준선 후 화면 끝까지 관통</t>
    </r>
  </si>
  <si>
    <t xml:space="preserve">선상의 모든 운석에 적용</t>
  </si>
  <si>
    <t xml:space="preserve">소형 미사일</t>
  </si>
  <si>
    <t xml:space="preserve">Micro Missiles</t>
  </si>
  <si>
    <r>
      <rPr>
        <sz val="11"/>
        <rFont val="Noto Sans CJK SC"/>
        <family val="2"/>
      </rPr>
      <t xml:space="preserve">유도 미사일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발</t>
    </r>
  </si>
  <si>
    <r>
      <rPr>
        <sz val="11"/>
        <rFont val="Noto Sans CJK SC"/>
        <family val="2"/>
      </rPr>
      <t xml:space="preserve">명중 시 반경 </t>
    </r>
    <r>
      <rPr>
        <sz val="11"/>
        <rFont val="Arial"/>
        <family val="0"/>
        <charset val="1"/>
      </rPr>
      <t xml:space="preserve">40 </t>
    </r>
    <r>
      <rPr>
        <sz val="11"/>
        <rFont val="Noto Sans CJK SC"/>
        <family val="2"/>
      </rPr>
      <t xml:space="preserve">폭발 </t>
    </r>
    <r>
      <rPr>
        <sz val="11"/>
        <rFont val="Arial"/>
        <family val="0"/>
        <charset val="1"/>
      </rPr>
      <t xml:space="preserve">19 </t>
    </r>
    <r>
      <rPr>
        <sz val="11"/>
        <rFont val="Noto Sans CJK SC"/>
        <family val="2"/>
      </rPr>
      <t xml:space="preserve">별도</t>
    </r>
  </si>
  <si>
    <t xml:space="preserve">공중 지원</t>
  </si>
  <si>
    <t xml:space="preserve">Air Strafe</t>
  </si>
  <si>
    <t xml:space="preserve">건십이 지나가며 예광탄 사격</t>
  </si>
  <si>
    <r>
      <rPr>
        <sz val="11"/>
        <rFont val="Noto Sans CJK SC"/>
        <family val="2"/>
      </rPr>
      <t xml:space="preserve">타수는 화면 폭 기준 근사 </t>
    </r>
    <r>
      <rPr>
        <sz val="11"/>
        <rFont val="Arial"/>
        <family val="0"/>
        <charset val="1"/>
      </rPr>
      <t xml:space="preserve">(0.045</t>
    </r>
    <r>
      <rPr>
        <sz val="11"/>
        <rFont val="Noto Sans CJK SC"/>
        <family val="2"/>
      </rPr>
      <t xml:space="preserve">초 간격 </t>
    </r>
    <r>
      <rPr>
        <sz val="11"/>
        <rFont val="Arial"/>
        <family val="0"/>
        <charset val="1"/>
      </rPr>
      <t xml:space="preserve">× 1.15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</si>
  <si>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t xml:space="preserve">재즈 세션</t>
  </si>
  <si>
    <t xml:space="preserve">Jam Session</t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</si>
  <si>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초 동안 코어 공격 속도 증가</t>
    </r>
  </si>
  <si>
    <r>
      <rPr>
        <sz val="11"/>
        <rFont val="Noto Sans CJK SC"/>
        <family val="2"/>
      </rPr>
      <t xml:space="preserve">피해 없음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버프</t>
    </r>
  </si>
  <si>
    <r>
      <rPr>
        <i val="true"/>
        <sz val="11"/>
        <color rgb="FF666666"/>
        <rFont val="Noto Sans CJK SC"/>
        <family val="2"/>
      </rPr>
      <t xml:space="preserve">파란 글씨 셀을 바꾸면 마나 비용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시전당 피해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초당 피해가 다시 계산됩니다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마나 공식은 설정 탭에 있습니다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</si>
  <si>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</si>
  <si>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</si>
  <si>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설명</t>
  </si>
  <si>
    <t xml:space="preserve">마나 기본값</t>
  </si>
  <si>
    <r>
      <rPr>
        <sz val="11"/>
        <rFont val="Noto Sans CJK SC"/>
        <family val="2"/>
      </rPr>
      <t xml:space="preserve">마나 비용 </t>
    </r>
    <r>
      <rPr>
        <sz val="11"/>
        <rFont val="Arial"/>
        <family val="0"/>
        <charset val="1"/>
      </rPr>
      <t xml:space="preserve">= ROUND(</t>
    </r>
    <r>
      <rPr>
        <sz val="11"/>
        <rFont val="Noto Sans CJK SC"/>
        <family val="2"/>
      </rPr>
      <t xml:space="preserve">기본값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수동 쿨타임 </t>
    </r>
    <r>
      <rPr>
        <sz val="11"/>
        <rFont val="Arial"/>
        <family val="0"/>
        <charset val="1"/>
      </rPr>
      <t xml:space="preserve">× </t>
    </r>
    <r>
      <rPr>
        <sz val="11"/>
        <rFont val="Noto Sans CJK SC"/>
        <family val="2"/>
      </rPr>
      <t xml:space="preserve">계수</t>
    </r>
    <r>
      <rPr>
        <sz val="11"/>
        <rFont val="Arial"/>
        <family val="0"/>
        <charset val="1"/>
      </rPr>
      <t xml:space="preserve">)</t>
    </r>
  </si>
  <si>
    <t xml:space="preserve">마나 계수</t>
  </si>
  <si>
    <t xml:space="preserve">최대 마나</t>
  </si>
  <si>
    <t xml:space="preserve">초당 마나 재생</t>
  </si>
  <si>
    <t xml:space="preserve">재즈 세션 공속 증가</t>
  </si>
  <si>
    <r>
      <rPr>
        <i val="true"/>
        <sz val="11"/>
        <color rgb="FF666666"/>
        <rFont val="Noto Sans CJK SC"/>
        <family val="2"/>
      </rPr>
      <t xml:space="preserve">파란 글씨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직접 입력하는 값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게임 코드 </t>
    </r>
    <r>
      <rPr>
        <i val="true"/>
        <sz val="11"/>
        <color rgb="FF666666"/>
        <rFont val="Arial"/>
        <family val="0"/>
        <charset val="1"/>
      </rPr>
      <t xml:space="preserve">DMG·AUTO_CD </t>
    </r>
    <r>
      <rPr>
        <i val="true"/>
        <sz val="11"/>
        <color rgb="FF666666"/>
        <rFont val="Noto Sans CJK SC"/>
        <family val="2"/>
      </rPr>
      <t xml:space="preserve">표와 같은 값</t>
    </r>
    <r>
      <rPr>
        <i val="true"/>
        <sz val="11"/>
        <color rgb="FF666666"/>
        <rFont val="Arial"/>
        <family val="0"/>
        <charset val="1"/>
      </rPr>
      <t xml:space="preserve">). </t>
    </r>
    <r>
      <rPr>
        <i val="true"/>
        <sz val="11"/>
        <color rgb="FF666666"/>
        <rFont val="Noto Sans CJK SC"/>
        <family val="2"/>
      </rPr>
      <t xml:space="preserve">검은 글씨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수식</t>
    </r>
    <r>
      <rPr>
        <i val="true"/>
        <sz val="11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</si>
</sst>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#"/>
    <numFmt numFmtId="166" formatCode="0.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1ECE0"/>
      <name val="Noto Sans CJK SC"/>
      <family val="2"/>
    </font>
    <font>
      <b val="true"/>
      <sz val="11"/>
      <color rgb="FFF1ECE0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i val="true"/>
      <sz val="11"/>
      <color rgb="FF666666"/>
      <name val="Noto Sans CJK SC"/>
      <family val="2"/>
    </font>
    <font>
      <i val="true"/>
      <sz val="11"/>
      <color rgb="FF666666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A0A0C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2"/>
      <rgbColor rgb="FF808080"/>
      <rgbColor rgb="FF9999FF"/>
      <rgbColor rgb="FF993366"/>
      <rgbColor rgb="FFF1EC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0A0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6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7.15" hidden="false" customHeight="false" outlineLevel="0" collapsed="false">
      <c r="A2" s="3" t="n">
        <v>1</v>
      </c>
      <c r="B2" s="4" t="s">
        <v>13</v>
      </c>
      <c r="C2" s="3" t="s">
        <v>14</v>
      </c>
      <c r="D2" s="5" t="s">
        <v>15</v>
      </c>
      <c r="E2" s="6" t="n">
        <v>0.6</v>
      </c>
      <c r="F2" s="3" t="n">
        <f aca="false">ROUND(설정!$B$2+E2*설정!$B$3,0)</f>
        <v>17</v>
      </c>
      <c r="G2" s="6" t="n">
        <v>1.2</v>
      </c>
      <c r="H2" s="7" t="n">
        <v>22</v>
      </c>
      <c r="I2" s="7" t="n">
        <v>6</v>
      </c>
      <c r="J2" s="7" t="n">
        <v>0</v>
      </c>
      <c r="K2" s="3" t="n">
        <f aca="false">H2*I2+J2</f>
        <v>132</v>
      </c>
      <c r="L2" s="8" t="n">
        <f aca="false">IFERROR(K2/G2,0)</f>
        <v>110</v>
      </c>
      <c r="M2" s="5"/>
    </row>
    <row r="3" customFormat="false" ht="17.15" hidden="false" customHeight="false" outlineLevel="0" collapsed="false">
      <c r="A3" s="3" t="n">
        <v>2</v>
      </c>
      <c r="B3" s="4" t="s">
        <v>16</v>
      </c>
      <c r="C3" s="3" t="s">
        <v>17</v>
      </c>
      <c r="D3" s="5" t="s">
        <v>18</v>
      </c>
      <c r="E3" s="6" t="n">
        <v>0.5</v>
      </c>
      <c r="F3" s="3" t="n">
        <f aca="false">ROUND(설정!$B$2+E3*설정!$B$3,0)</f>
        <v>15</v>
      </c>
      <c r="G3" s="6" t="n">
        <v>1.4</v>
      </c>
      <c r="H3" s="7" t="n">
        <v>14</v>
      </c>
      <c r="I3" s="7" t="n">
        <v>12</v>
      </c>
      <c r="J3" s="7" t="n">
        <v>0</v>
      </c>
      <c r="K3" s="3" t="n">
        <f aca="false">H3*I3+J3</f>
        <v>168</v>
      </c>
      <c r="L3" s="8" t="n">
        <f aca="false">IFERROR(K3/G3,0)</f>
        <v>120</v>
      </c>
      <c r="M3" s="5"/>
    </row>
    <row r="4" customFormat="false" ht="17.15" hidden="false" customHeight="false" outlineLevel="0" collapsed="false">
      <c r="A4" s="3" t="n">
        <v>3</v>
      </c>
      <c r="B4" s="4" t="s">
        <v>19</v>
      </c>
      <c r="C4" s="3" t="s">
        <v>20</v>
      </c>
      <c r="D4" s="5" t="s">
        <v>21</v>
      </c>
      <c r="E4" s="6" t="n">
        <v>0.9</v>
      </c>
      <c r="F4" s="3" t="n">
        <f aca="false">ROUND(설정!$B$2+E4*설정!$B$3,0)</f>
        <v>22</v>
      </c>
      <c r="G4" s="6" t="n">
        <v>2.2</v>
      </c>
      <c r="H4" s="7" t="n">
        <v>40</v>
      </c>
      <c r="I4" s="7" t="n">
        <v>1</v>
      </c>
      <c r="J4" s="7" t="n">
        <v>55</v>
      </c>
      <c r="K4" s="3" t="n">
        <f aca="false">H4*I4+J4</f>
        <v>95</v>
      </c>
      <c r="L4" s="8" t="n">
        <f aca="false">IFERROR(K4/G4,0)</f>
        <v>43.1818181818182</v>
      </c>
      <c r="M4" s="5" t="s">
        <v>22</v>
      </c>
    </row>
    <row r="5" customFormat="false" ht="17.15" hidden="false" customHeight="false" outlineLevel="0" collapsed="false">
      <c r="A5" s="3" t="n">
        <v>4</v>
      </c>
      <c r="B5" s="4" t="s">
        <v>23</v>
      </c>
      <c r="C5" s="3" t="s">
        <v>24</v>
      </c>
      <c r="D5" s="5" t="s">
        <v>25</v>
      </c>
      <c r="E5" s="6" t="n">
        <v>0.5</v>
      </c>
      <c r="F5" s="3" t="n">
        <f aca="false">ROUND(설정!$B$2+E5*설정!$B$3,0)</f>
        <v>15</v>
      </c>
      <c r="G5" s="6" t="n">
        <v>2</v>
      </c>
      <c r="H5" s="7" t="n">
        <v>120</v>
      </c>
      <c r="I5" s="7" t="n">
        <v>1</v>
      </c>
      <c r="J5" s="7" t="n">
        <v>0</v>
      </c>
      <c r="K5" s="3" t="n">
        <f aca="false">H5*I5+J5</f>
        <v>120</v>
      </c>
      <c r="L5" s="8" t="n">
        <f aca="false">IFERROR(K5/G5,0)</f>
        <v>60</v>
      </c>
      <c r="M5" s="5" t="s">
        <v>26</v>
      </c>
    </row>
    <row r="6" customFormat="false" ht="17.15" hidden="false" customHeight="false" outlineLevel="0" collapsed="false">
      <c r="A6" s="3" t="n">
        <v>5</v>
      </c>
      <c r="B6" s="4" t="s">
        <v>27</v>
      </c>
      <c r="C6" s="3" t="s">
        <v>28</v>
      </c>
      <c r="D6" s="9" t="s">
        <v>29</v>
      </c>
      <c r="E6" s="6" t="n">
        <v>1.4</v>
      </c>
      <c r="F6" s="3" t="n">
        <f aca="false">ROUND(설정!$B$2+E6*설정!$B$3,0)</f>
        <v>31</v>
      </c>
      <c r="G6" s="6" t="n">
        <v>3.4</v>
      </c>
      <c r="H6" s="7" t="n">
        <v>180</v>
      </c>
      <c r="I6" s="7" t="n">
        <v>1</v>
      </c>
      <c r="J6" s="7" t="n">
        <v>36</v>
      </c>
      <c r="K6" s="3" t="n">
        <f aca="false">H6*I6+J6</f>
        <v>216</v>
      </c>
      <c r="L6" s="8" t="n">
        <f aca="false">IFERROR(K6/G6,0)</f>
        <v>63.5294117647059</v>
      </c>
      <c r="M6" s="5" t="s">
        <v>30</v>
      </c>
    </row>
    <row r="7" customFormat="false" ht="17.15" hidden="false" customHeight="false" outlineLevel="0" collapsed="false">
      <c r="A7" s="3" t="n">
        <v>6</v>
      </c>
      <c r="B7" s="4" t="s">
        <v>31</v>
      </c>
      <c r="C7" s="3" t="s">
        <v>32</v>
      </c>
      <c r="D7" s="9" t="s">
        <v>33</v>
      </c>
      <c r="E7" s="6" t="n">
        <v>1</v>
      </c>
      <c r="F7" s="3" t="n">
        <f aca="false">ROUND(설정!$B$2+E7*설정!$B$3,0)</f>
        <v>24</v>
      </c>
      <c r="G7" s="6" t="n">
        <v>2.4</v>
      </c>
      <c r="H7" s="7" t="n">
        <v>170</v>
      </c>
      <c r="I7" s="7" t="n">
        <v>1</v>
      </c>
      <c r="J7" s="7" t="n">
        <v>0</v>
      </c>
      <c r="K7" s="3" t="n">
        <f aca="false">H7*I7+J7</f>
        <v>170</v>
      </c>
      <c r="L7" s="8" t="n">
        <f aca="false">IFERROR(K7/G7,0)</f>
        <v>70.8333333333333</v>
      </c>
      <c r="M7" s="5" t="s">
        <v>34</v>
      </c>
    </row>
    <row r="8" customFormat="false" ht="17.15" hidden="false" customHeight="false" outlineLevel="0" collapsed="false">
      <c r="A8" s="3" t="n">
        <v>7</v>
      </c>
      <c r="B8" s="4" t="s">
        <v>35</v>
      </c>
      <c r="C8" s="3" t="s">
        <v>36</v>
      </c>
      <c r="D8" s="5" t="s">
        <v>37</v>
      </c>
      <c r="E8" s="6" t="n">
        <v>1</v>
      </c>
      <c r="F8" s="3" t="n">
        <f aca="false">ROUND(설정!$B$2+E8*설정!$B$3,0)</f>
        <v>24</v>
      </c>
      <c r="G8" s="6" t="n">
        <v>2.6</v>
      </c>
      <c r="H8" s="7" t="n">
        <v>38</v>
      </c>
      <c r="I8" s="7" t="n">
        <v>8</v>
      </c>
      <c r="J8" s="7" t="n">
        <v>0</v>
      </c>
      <c r="K8" s="3" t="n">
        <f aca="false">H8*I8+J8</f>
        <v>304</v>
      </c>
      <c r="L8" s="8" t="n">
        <f aca="false">IFERROR(K8/G8,0)</f>
        <v>116.923076923077</v>
      </c>
      <c r="M8" s="5" t="s">
        <v>38</v>
      </c>
    </row>
    <row r="9" customFormat="false" ht="32.8" hidden="false" customHeight="false" outlineLevel="0" collapsed="false">
      <c r="A9" s="3" t="n">
        <v>8</v>
      </c>
      <c r="B9" s="4" t="s">
        <v>39</v>
      </c>
      <c r="C9" s="3" t="s">
        <v>40</v>
      </c>
      <c r="D9" s="5" t="s">
        <v>41</v>
      </c>
      <c r="E9" s="6" t="n">
        <v>1.8</v>
      </c>
      <c r="F9" s="3" t="n">
        <f aca="false">ROUND(설정!$B$2+E9*설정!$B$3,0)</f>
        <v>38</v>
      </c>
      <c r="G9" s="6" t="n">
        <v>4.5</v>
      </c>
      <c r="H9" s="7" t="n">
        <v>16</v>
      </c>
      <c r="I9" s="7" t="n">
        <v>25</v>
      </c>
      <c r="J9" s="7" t="n">
        <v>0</v>
      </c>
      <c r="K9" s="3" t="n">
        <f aca="false">H9*I9+J9</f>
        <v>400</v>
      </c>
      <c r="L9" s="8" t="n">
        <f aca="false">IFERROR(K9/G9,0)</f>
        <v>88.8888888888889</v>
      </c>
      <c r="M9" s="5" t="s">
        <v>42</v>
      </c>
    </row>
    <row r="10" customFormat="false" ht="17.15" hidden="false" customHeight="false" outlineLevel="0" collapsed="false">
      <c r="A10" s="3" t="n">
        <v>9</v>
      </c>
      <c r="B10" s="4" t="s">
        <v>43</v>
      </c>
      <c r="C10" s="3" t="s">
        <v>44</v>
      </c>
      <c r="D10" s="9" t="s">
        <v>45</v>
      </c>
      <c r="E10" s="6" t="n">
        <v>3</v>
      </c>
      <c r="F10" s="3" t="n">
        <f aca="false">ROUND(설정!$B$2+E10*설정!$B$3,0)</f>
        <v>60</v>
      </c>
      <c r="G10" s="6" t="n">
        <v>9</v>
      </c>
      <c r="H10" s="7" t="n">
        <v>0</v>
      </c>
      <c r="I10" s="7" t="n">
        <v>0</v>
      </c>
      <c r="J10" s="7" t="n">
        <v>0</v>
      </c>
      <c r="K10" s="3" t="n">
        <f aca="false">H10*I10+J10</f>
        <v>0</v>
      </c>
      <c r="L10" s="8" t="n">
        <f aca="false">IFERROR(K10/G10,0)</f>
        <v>0</v>
      </c>
      <c r="M10" s="5" t="s">
        <v>46</v>
      </c>
    </row>
    <row r="12" customFormat="false" ht="17.15" hidden="false" customHeight="false" outlineLevel="0" collapsed="false">
      <c r="A12" s="1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1" t="s">
        <v>48</v>
      </c>
      <c r="B1" s="11" t="s">
        <v>49</v>
      </c>
      <c r="C1" s="11" t="s">
        <v>50</v>
      </c>
    </row>
    <row r="2" customFormat="false" ht="17.15" hidden="false" customHeight="false" outlineLevel="0" collapsed="false">
      <c r="A2" s="12" t="s">
        <v>51</v>
      </c>
      <c r="B2" s="13" t="n">
        <v>6</v>
      </c>
      <c r="C2" s="12" t="s">
        <v>52</v>
      </c>
    </row>
    <row r="3" customFormat="false" ht="15" hidden="false" customHeight="false" outlineLevel="0" collapsed="false">
      <c r="A3" s="12" t="s">
        <v>53</v>
      </c>
      <c r="B3" s="13" t="n">
        <v>18</v>
      </c>
      <c r="C3" s="12"/>
    </row>
    <row r="4" customFormat="false" ht="15" hidden="false" customHeight="false" outlineLevel="0" collapsed="false">
      <c r="A4" s="12" t="s">
        <v>54</v>
      </c>
      <c r="B4" s="13" t="n">
        <v>100</v>
      </c>
      <c r="C4" s="12"/>
    </row>
    <row r="5" customFormat="false" ht="15" hidden="false" customHeight="false" outlineLevel="0" collapsed="false">
      <c r="A5" s="12" t="s">
        <v>55</v>
      </c>
      <c r="B5" s="13" t="n">
        <v>8</v>
      </c>
      <c r="C5" s="12"/>
    </row>
    <row r="6" customFormat="false" ht="17.15" hidden="false" customHeight="false" outlineLevel="0" collapsed="false">
      <c r="A6" s="12" t="s">
        <v>56</v>
      </c>
      <c r="B6" s="14" t="n">
        <v>0.45</v>
      </c>
      <c r="C6" s="15" t="s">
        <v>45</v>
      </c>
    </row>
    <row r="8" customFormat="false" ht="17.15" hidden="false" customHeight="false" outlineLevel="0" collapsed="false">
      <c r="A8" s="1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2026-10-17T15:03:25Z</dcterms:created>
  <dc:creator>openpyxl</dc:creator>
  <dc:description/>
  <dc:language>en-US</dc:language>
  <cp:lastModifiedBy/>
  <dcterms:modified xsi:type="dcterms:W3CDTF">2026-10-17T15:03:25Z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